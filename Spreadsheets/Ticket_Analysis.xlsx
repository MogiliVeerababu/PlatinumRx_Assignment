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_Analyst_Assignment\Spreadsheets\"/>
    </mc:Choice>
  </mc:AlternateContent>
  <xr:revisionPtr revIDLastSave="0" documentId="13_ncr:1_{3ADE0F86-CAA0-4477-A37C-15B8D2F1B1E4}" xr6:coauthVersionLast="47" xr6:coauthVersionMax="47" xr10:uidLastSave="{00000000-0000-0000-0000-000000000000}"/>
  <bookViews>
    <workbookView xWindow="-108" yWindow="-108" windowWidth="23256" windowHeight="12456" xr2:uid="{101D4051-F827-4C33-AB08-9434B19B47F0}"/>
  </bookViews>
  <sheets>
    <sheet name="feedbacks" sheetId="2" r:id="rId1"/>
    <sheet name="ticket" sheetId="1" r:id="rId2"/>
    <sheet name="Resul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" l="1" a="1"/>
  <c r="C3" i="3" s="1"/>
  <c r="C2" i="3" a="1"/>
  <c r="C2" i="3" s="1"/>
  <c r="B3" i="3" a="1"/>
  <c r="B3" i="3" s="1"/>
  <c r="B2" i="3" a="1"/>
  <c r="B2" i="3" s="1"/>
  <c r="B3" i="2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<sst xmlns="http://schemas.openxmlformats.org/spreadsheetml/2006/main" count="28" uniqueCount="20">
  <si>
    <t>ticket_id</t>
  </si>
  <si>
    <t>created_at</t>
  </si>
  <si>
    <t>closed_at</t>
  </si>
  <si>
    <t>outlet_id</t>
  </si>
  <si>
    <t>cms_id</t>
  </si>
  <si>
    <t>ticket_created_at</t>
  </si>
  <si>
    <t>feedback_at</t>
  </si>
  <si>
    <t>feedback_rating</t>
  </si>
  <si>
    <t>same_day_count</t>
  </si>
  <si>
    <t>same_hour_count</t>
  </si>
  <si>
    <t>tkt-001</t>
  </si>
  <si>
    <t>outlet-1</t>
  </si>
  <si>
    <t>cms-001</t>
  </si>
  <si>
    <t>tkt-002</t>
  </si>
  <si>
    <t>cms-002</t>
  </si>
  <si>
    <t>cms-003</t>
  </si>
  <si>
    <t>outlet-2</t>
  </si>
  <si>
    <t>tkt-003</t>
  </si>
  <si>
    <t>tkt-004</t>
  </si>
  <si>
    <t>cms-004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</si>
</sst>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2" fontId="0" fillId="0" borderId="0" xfId="0" applyNumberFormat="1"/>
    <xf numFmtId="22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EACC8-EA2C-41DC-ADEF-E7EDD4D744C3}">
  <dimension ref="A1:D3"/>
  <sheetViews>
    <sheetView tabSelected="1" workbookViewId="0">
      <selection activeCell="F11" sqref="F11"/>
    </sheetView>
  </sheetViews>
  <sheetFormatPr defaultRowHeight="14.4"/>
  <cols>
    <col min="2" max="2" width="18.109375" bestFit="1" customWidth="1"/>
    <col min="3" max="3" width="15.44140625" bestFit="1" customWidth="1"/>
    <col min="4" max="4" width="14.21875" bestFit="1" customWidth="1"/>
  </cols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 t="s">
        <v>14</v>
      </c>
      <c r="B2" s="4">
        <f>IFERROR(INDEX(ticket!$B$2:$B$1000, MATCH(A2, ticket!$E$2:$E$1000, 0)), "")</f>
        <v>44429.560277777775</v>
      </c>
      <c r="C2" s="2">
        <v>44429.560277777775</v>
      </c>
      <c r="D2">
        <v>3</v>
      </c>
    </row>
    <row r="3" spans="1:4">
      <c r="A3" t="s">
        <v>19</v>
      </c>
      <c r="B3" s="4">
        <f>IFERROR(INDEX(ticket!$B$2:$B$1000, MATCH(A3, ticket!$E$2:$E$1000, 0)), "")</f>
        <v>44430.375</v>
      </c>
      <c r="C3" s="2">
        <v>44430.416666666664</v>
      </c>
      <c r="D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2CDA4-4C6C-46DD-B8F7-C55B80F959B1}">
  <dimension ref="A1:E5"/>
  <sheetViews>
    <sheetView workbookViewId="0">
      <selection activeCell="E5" sqref="E5"/>
    </sheetView>
  </sheetViews>
  <sheetFormatPr defaultRowHeight="14.4"/>
  <cols>
    <col min="2" max="3" width="15.44140625" bestFit="1" customWidth="1"/>
    <col min="4" max="4" width="8.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</v>
      </c>
      <c r="B2" s="2">
        <v>44429.464837962965</v>
      </c>
      <c r="C2" s="2">
        <v>44429.717881944445</v>
      </c>
      <c r="D2" t="s">
        <v>11</v>
      </c>
      <c r="E2" t="s">
        <v>12</v>
      </c>
    </row>
    <row r="3" spans="1:5">
      <c r="A3" t="s">
        <v>13</v>
      </c>
      <c r="B3" s="2">
        <v>44429.560277777775</v>
      </c>
      <c r="C3" s="2">
        <v>44429.576388888891</v>
      </c>
      <c r="D3" t="s">
        <v>11</v>
      </c>
      <c r="E3" t="s">
        <v>14</v>
      </c>
    </row>
    <row r="4" spans="1:5">
      <c r="A4" t="s">
        <v>17</v>
      </c>
      <c r="B4" s="2">
        <v>44429.548611111109</v>
      </c>
      <c r="C4" s="3">
        <v>44429.565972222219</v>
      </c>
      <c r="D4" t="s">
        <v>16</v>
      </c>
      <c r="E4" t="s">
        <v>15</v>
      </c>
    </row>
    <row r="5" spans="1:5">
      <c r="A5" t="s">
        <v>18</v>
      </c>
      <c r="B5" s="2">
        <v>44430.375</v>
      </c>
      <c r="C5" s="2">
        <v>44430.378472222219</v>
      </c>
      <c r="D5" t="s">
        <v>11</v>
      </c>
      <c r="E5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3EE4E-8E9E-45E6-8ED8-31C341AD2C38}">
  <dimension ref="A1:C3"/>
  <sheetViews>
    <sheetView workbookViewId="0">
      <selection activeCell="F4" sqref="F4"/>
    </sheetView>
  </sheetViews>
  <sheetFormatPr defaultRowHeight="14.4"/>
  <cols>
    <col min="2" max="2" width="15" bestFit="1" customWidth="1"/>
    <col min="3" max="3" width="15.88671875" bestFit="1" customWidth="1"/>
  </cols>
  <sheetData>
    <row r="1" spans="1:3">
      <c r="A1" s="1" t="s">
        <v>3</v>
      </c>
      <c r="B1" s="1" t="s">
        <v>8</v>
      </c>
      <c r="C1" s="1" t="s">
        <v>9</v>
      </c>
    </row>
    <row r="2" spans="1:3">
      <c r="A2" t="s">
        <v>11</v>
      </c>
      <c r="B2" cm="1">
        <f t="array" ref="B2">SUMPRODUCT((ticket!$D$2:$D$1000 = $A2) * (INT(ticket!$B$2:$B$1000) = INT(ticket!$C$2:$C$1000)))</f>
        <v>3</v>
      </c>
      <c r="C2" cm="1">
        <f t="array" ref="C2">SUMPRODUCT((ticket!$D$2:$D$1000 = $A2) * (INT(ticket!$B$2:$B$1000) = INT(ticket!$C$2:$C$1000)) * (HOUR(ticket!$B$2:$B$1000) = HOUR(ticket!$C$2:$C$1000)))</f>
        <v>2</v>
      </c>
    </row>
    <row r="3" spans="1:3">
      <c r="A3" t="s">
        <v>16</v>
      </c>
      <c r="B3" cm="1">
        <f t="array" ref="B3">SUMPRODUCT((ticket!$D$2:$D$1000 = $A3) * (INT(ticket!$B$2:$B$1000) = INT(ticket!$C$2:$C$1000)))</f>
        <v>1</v>
      </c>
      <c r="C3" cm="1">
        <f t="array" ref="C3">SUMPRODUCT((ticket!$D$2:$D$1000 = $A3) * (INT(ticket!$B$2:$B$1000) = INT(ticket!$C$2:$C$1000)) * (HOUR(ticket!$B$2:$B$1000) = HOUR(ticket!$C$2:$C$1000)))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feedbacks</vt:lpstr>
      <vt:lpstr>ticket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mogili veerababu</dc:creator>
  <cp:lastModifiedBy>mogili veerababu</cp:lastModifiedBy>
  <dcterms:created xsi:type="dcterms:W3CDTF">2025-12-02T16:05:00Z</dcterms:created>
  <dcterms:modified xsi:type="dcterms:W3CDTF">2025-12-02T17:27:59Z</dcterms:modified>
</cp:coreProperties>
</file>